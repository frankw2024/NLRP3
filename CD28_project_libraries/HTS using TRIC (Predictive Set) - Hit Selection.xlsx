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cornell-my.sharepoint.com/personal/lac4018_med_cornell_edu/Documents/Gabr Lab/Papers/CD28 Machine Learning/CD28 Machine Learning 20250620/Sent to Hossam &amp; Moustafa (June 20, 2025)/"/>
    </mc:Choice>
  </mc:AlternateContent>
  <xr:revisionPtr revIDLastSave="549" documentId="8_{462D0E7B-6BA5-4AD8-ACFF-25982C4476D4}" xr6:coauthVersionLast="47" xr6:coauthVersionMax="47" xr10:uidLastSave="{968F9E64-C26A-416F-8491-A827ABD83D0C}"/>
  <bookViews>
    <workbookView xWindow="-120" yWindow="-120" windowWidth="38640" windowHeight="21120" xr2:uid="{BB8511A8-10FF-4B00-A0EA-1AA5364B06B3}"/>
  </bookViews>
  <sheets>
    <sheet name="ML CD28 - Focused Library (345)" sheetId="2" r:id="rId1"/>
    <sheet name="Hit Selection Criter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C21" i="1"/>
  <c r="C20" i="1"/>
  <c r="C24" i="1" s="1"/>
  <c r="C53" i="1" l="1"/>
  <c r="C49" i="1"/>
  <c r="C52" i="1"/>
  <c r="C50" i="1"/>
  <c r="C26" i="1"/>
  <c r="C27" i="1"/>
  <c r="C23" i="1"/>
</calcChain>
</file>

<file path=xl/sharedStrings.xml><?xml version="1.0" encoding="utf-8"?>
<sst xmlns="http://schemas.openxmlformats.org/spreadsheetml/2006/main" count="483" uniqueCount="294">
  <si>
    <t>Negative Control</t>
  </si>
  <si>
    <t>B11</t>
  </si>
  <si>
    <t>B17</t>
  </si>
  <si>
    <t>C17</t>
  </si>
  <si>
    <t>C22</t>
  </si>
  <si>
    <t>D19</t>
  </si>
  <si>
    <t>E16</t>
  </si>
  <si>
    <t>F13</t>
  </si>
  <si>
    <t>G03</t>
  </si>
  <si>
    <t>G04</t>
  </si>
  <si>
    <t>G11</t>
  </si>
  <si>
    <t>H17</t>
  </si>
  <si>
    <t>H18</t>
  </si>
  <si>
    <t>I06</t>
  </si>
  <si>
    <t>I11</t>
  </si>
  <si>
    <t>I17</t>
  </si>
  <si>
    <t>J10</t>
  </si>
  <si>
    <t>K09</t>
  </si>
  <si>
    <t>L05</t>
  </si>
  <si>
    <t>L10</t>
  </si>
  <si>
    <t>L15</t>
  </si>
  <si>
    <t>L21</t>
  </si>
  <si>
    <t>M05</t>
  </si>
  <si>
    <t>M08</t>
  </si>
  <si>
    <t>M20</t>
  </si>
  <si>
    <t>M22</t>
  </si>
  <si>
    <t>N20</t>
  </si>
  <si>
    <t>N21</t>
  </si>
  <si>
    <t>O21</t>
  </si>
  <si>
    <t>P11</t>
  </si>
  <si>
    <t>P12</t>
  </si>
  <si>
    <t>Mean</t>
  </si>
  <si>
    <t>SD</t>
  </si>
  <si>
    <t>Mean+10Fnorm</t>
  </si>
  <si>
    <t>Mean-10Fnorm</t>
  </si>
  <si>
    <t>Mean+3SD</t>
  </si>
  <si>
    <t>Mean-3SD</t>
  </si>
  <si>
    <t>8 compounds</t>
  </si>
  <si>
    <t>4 compounds</t>
  </si>
  <si>
    <t>6 compounds</t>
  </si>
  <si>
    <t>TOP HALF</t>
  </si>
  <si>
    <t>BOTTOM HALF</t>
  </si>
  <si>
    <t>A</t>
  </si>
  <si>
    <t>A04</t>
  </si>
  <si>
    <t>A05</t>
  </si>
  <si>
    <t>A06</t>
  </si>
  <si>
    <t>A08</t>
  </si>
  <si>
    <t>A10</t>
  </si>
  <si>
    <t>A12</t>
  </si>
  <si>
    <t>A14</t>
  </si>
  <si>
    <t>A15</t>
  </si>
  <si>
    <t>A17</t>
  </si>
  <si>
    <t>A18</t>
  </si>
  <si>
    <t>A20</t>
  </si>
  <si>
    <t>A21</t>
  </si>
  <si>
    <t>A22</t>
  </si>
  <si>
    <t>B02</t>
  </si>
  <si>
    <t>B07</t>
  </si>
  <si>
    <t>B08</t>
  </si>
  <si>
    <t>B10</t>
  </si>
  <si>
    <t>B13</t>
  </si>
  <si>
    <t>B16</t>
  </si>
  <si>
    <t>C03</t>
  </si>
  <si>
    <t>C09</t>
  </si>
  <si>
    <t>PLATE 1</t>
  </si>
  <si>
    <t>B</t>
  </si>
  <si>
    <t>C10</t>
  </si>
  <si>
    <t>C14</t>
  </si>
  <si>
    <t>C15</t>
  </si>
  <si>
    <t>C18</t>
  </si>
  <si>
    <t>C20</t>
  </si>
  <si>
    <t>C21</t>
  </si>
  <si>
    <t>D02</t>
  </si>
  <si>
    <t>D06</t>
  </si>
  <si>
    <t>D10</t>
  </si>
  <si>
    <t>D14</t>
  </si>
  <si>
    <t>D17</t>
  </si>
  <si>
    <t>D22</t>
  </si>
  <si>
    <t>E03</t>
  </si>
  <si>
    <t>F01</t>
  </si>
  <si>
    <t>F05</t>
  </si>
  <si>
    <t>F07</t>
  </si>
  <si>
    <t>F08</t>
  </si>
  <si>
    <t>F12</t>
  </si>
  <si>
    <t>F18</t>
  </si>
  <si>
    <t>F21</t>
  </si>
  <si>
    <t>G07</t>
  </si>
  <si>
    <t>PLATE 2</t>
  </si>
  <si>
    <t>C</t>
  </si>
  <si>
    <t>G13</t>
  </si>
  <si>
    <t>G19</t>
  </si>
  <si>
    <t>G20</t>
  </si>
  <si>
    <t>H01</t>
  </si>
  <si>
    <t>H06</t>
  </si>
  <si>
    <t>H07</t>
  </si>
  <si>
    <t>H11</t>
  </si>
  <si>
    <t>H14</t>
  </si>
  <si>
    <t>H19</t>
  </si>
  <si>
    <t>H20</t>
  </si>
  <si>
    <t>H21</t>
  </si>
  <si>
    <t>I08</t>
  </si>
  <si>
    <t>I09</t>
  </si>
  <si>
    <t>I13</t>
  </si>
  <si>
    <t>I16</t>
  </si>
  <si>
    <t>I19</t>
  </si>
  <si>
    <t>J02</t>
  </si>
  <si>
    <t>J03</t>
  </si>
  <si>
    <t>J04</t>
  </si>
  <si>
    <t>J07</t>
  </si>
  <si>
    <t>J08</t>
  </si>
  <si>
    <t>PLATE 4</t>
  </si>
  <si>
    <t>D</t>
  </si>
  <si>
    <t>J09</t>
  </si>
  <si>
    <t>J11</t>
  </si>
  <si>
    <t>J12</t>
  </si>
  <si>
    <t>J13</t>
  </si>
  <si>
    <t>J19</t>
  </si>
  <si>
    <t>K01</t>
  </si>
  <si>
    <t>K22</t>
  </si>
  <si>
    <t>L09</t>
  </si>
  <si>
    <t>L11</t>
  </si>
  <si>
    <t>L13</t>
  </si>
  <si>
    <t>L16</t>
  </si>
  <si>
    <t>L18</t>
  </si>
  <si>
    <t>L19</t>
  </si>
  <si>
    <t>L20</t>
  </si>
  <si>
    <t>L22</t>
  </si>
  <si>
    <t>M02</t>
  </si>
  <si>
    <t>M04</t>
  </si>
  <si>
    <t>M11</t>
  </si>
  <si>
    <t>M16</t>
  </si>
  <si>
    <t>PLATE 5</t>
  </si>
  <si>
    <t>E</t>
  </si>
  <si>
    <t>N01</t>
  </si>
  <si>
    <t>N05</t>
  </si>
  <si>
    <t>N11</t>
  </si>
  <si>
    <t>N14</t>
  </si>
  <si>
    <t>N19</t>
  </si>
  <si>
    <t>O11</t>
  </si>
  <si>
    <t>O12</t>
  </si>
  <si>
    <t>O16</t>
  </si>
  <si>
    <t>O17</t>
  </si>
  <si>
    <t>P03</t>
  </si>
  <si>
    <t>P04</t>
  </si>
  <si>
    <t>P06</t>
  </si>
  <si>
    <t>P07</t>
  </si>
  <si>
    <t>P14</t>
  </si>
  <si>
    <t>P15</t>
  </si>
  <si>
    <t>P22</t>
  </si>
  <si>
    <t>A09</t>
  </si>
  <si>
    <t>A13</t>
  </si>
  <si>
    <t>A16</t>
  </si>
  <si>
    <t>F</t>
  </si>
  <si>
    <t>B19</t>
  </si>
  <si>
    <t>B20</t>
  </si>
  <si>
    <t>B22</t>
  </si>
  <si>
    <t>C05</t>
  </si>
  <si>
    <t>C06</t>
  </si>
  <si>
    <t>C07</t>
  </si>
  <si>
    <t>C12</t>
  </si>
  <si>
    <t>C13</t>
  </si>
  <si>
    <t>C19</t>
  </si>
  <si>
    <t>D04</t>
  </si>
  <si>
    <t>D09</t>
  </si>
  <si>
    <t>D11</t>
  </si>
  <si>
    <t>E09</t>
  </si>
  <si>
    <t>E11</t>
  </si>
  <si>
    <t>G</t>
  </si>
  <si>
    <t>E13</t>
  </si>
  <si>
    <t>E15</t>
  </si>
  <si>
    <t>E17</t>
  </si>
  <si>
    <t>E18</t>
  </si>
  <si>
    <t>F03</t>
  </si>
  <si>
    <t>F06</t>
  </si>
  <si>
    <t>F09</t>
  </si>
  <si>
    <t>F10</t>
  </si>
  <si>
    <t>F11</t>
  </si>
  <si>
    <t>F14</t>
  </si>
  <si>
    <t>F15</t>
  </si>
  <si>
    <t>F17</t>
  </si>
  <si>
    <t>F19</t>
  </si>
  <si>
    <t>F20</t>
  </si>
  <si>
    <t>G02</t>
  </si>
  <si>
    <t>G05</t>
  </si>
  <si>
    <t>G08</t>
  </si>
  <si>
    <t>H</t>
  </si>
  <si>
    <t>G14</t>
  </si>
  <si>
    <t>G15</t>
  </si>
  <si>
    <t>G16</t>
  </si>
  <si>
    <t>G21</t>
  </si>
  <si>
    <t>H04</t>
  </si>
  <si>
    <t>H05</t>
  </si>
  <si>
    <t>H08</t>
  </si>
  <si>
    <t>H10</t>
  </si>
  <si>
    <t>H22</t>
  </si>
  <si>
    <t>I04</t>
  </si>
  <si>
    <t>I12</t>
  </si>
  <si>
    <t>I</t>
  </si>
  <si>
    <t>J14</t>
  </si>
  <si>
    <t>J15</t>
  </si>
  <si>
    <t>J16</t>
  </si>
  <si>
    <t>J20</t>
  </si>
  <si>
    <t>J21</t>
  </si>
  <si>
    <t>K05</t>
  </si>
  <si>
    <t>K06</t>
  </si>
  <si>
    <t>K08</t>
  </si>
  <si>
    <t>K13</t>
  </si>
  <si>
    <t>K16</t>
  </si>
  <si>
    <t>K17</t>
  </si>
  <si>
    <t>L01</t>
  </si>
  <si>
    <t>L02</t>
  </si>
  <si>
    <t>L03</t>
  </si>
  <si>
    <t>L06</t>
  </si>
  <si>
    <t>L07</t>
  </si>
  <si>
    <t>L14</t>
  </si>
  <si>
    <t>J</t>
  </si>
  <si>
    <t>M03</t>
  </si>
  <si>
    <t>M06</t>
  </si>
  <si>
    <t>M09</t>
  </si>
  <si>
    <t>M17</t>
  </si>
  <si>
    <t>M18</t>
  </si>
  <si>
    <t>M21</t>
  </si>
  <si>
    <t>N02</t>
  </si>
  <si>
    <t>N07</t>
  </si>
  <si>
    <t>N13</t>
  </si>
  <si>
    <t>N16</t>
  </si>
  <si>
    <t>N17</t>
  </si>
  <si>
    <t>N18</t>
  </si>
  <si>
    <t>O02</t>
  </si>
  <si>
    <t>O03</t>
  </si>
  <si>
    <t>O06</t>
  </si>
  <si>
    <t>O07</t>
  </si>
  <si>
    <t>O10</t>
  </si>
  <si>
    <t>O18</t>
  </si>
  <si>
    <t>K</t>
  </si>
  <si>
    <t>P05</t>
  </si>
  <si>
    <t>P13</t>
  </si>
  <si>
    <t>P19</t>
  </si>
  <si>
    <t>P21</t>
  </si>
  <si>
    <t>A02</t>
  </si>
  <si>
    <t>A03</t>
  </si>
  <si>
    <t>B04</t>
  </si>
  <si>
    <t>B12</t>
  </si>
  <si>
    <t>B14</t>
  </si>
  <si>
    <t>C11</t>
  </si>
  <si>
    <t>L</t>
  </si>
  <si>
    <t>D01</t>
  </si>
  <si>
    <t>D03</t>
  </si>
  <si>
    <t>D08</t>
  </si>
  <si>
    <t>D12</t>
  </si>
  <si>
    <t>D20</t>
  </si>
  <si>
    <t>F02</t>
  </si>
  <si>
    <t>F16</t>
  </si>
  <si>
    <t>G01</t>
  </si>
  <si>
    <t>M</t>
  </si>
  <si>
    <t>G09</t>
  </si>
  <si>
    <t>I01</t>
  </si>
  <si>
    <t>I02</t>
  </si>
  <si>
    <t>I22</t>
  </si>
  <si>
    <t>J05</t>
  </si>
  <si>
    <t>N</t>
  </si>
  <si>
    <t>K02</t>
  </si>
  <si>
    <t>K04</t>
  </si>
  <si>
    <t>K10</t>
  </si>
  <si>
    <t>K14</t>
  </si>
  <si>
    <t>K18</t>
  </si>
  <si>
    <t>L08</t>
  </si>
  <si>
    <t>L12</t>
  </si>
  <si>
    <t>M07</t>
  </si>
  <si>
    <t>M15</t>
  </si>
  <si>
    <t>M19</t>
  </si>
  <si>
    <t>O</t>
  </si>
  <si>
    <t>N08</t>
  </si>
  <si>
    <t>N09</t>
  </si>
  <si>
    <t>O20</t>
  </si>
  <si>
    <t>P08</t>
  </si>
  <si>
    <t>P16</t>
  </si>
  <si>
    <t>P17</t>
  </si>
  <si>
    <t>P</t>
  </si>
  <si>
    <t>B01</t>
  </si>
  <si>
    <t>C01</t>
  </si>
  <si>
    <t>C02</t>
  </si>
  <si>
    <t>E02</t>
  </si>
  <si>
    <t>N04</t>
  </si>
  <si>
    <t>11 compounds</t>
  </si>
  <si>
    <t>29-hit selection</t>
  </si>
  <si>
    <t>Fnorm</t>
  </si>
  <si>
    <t>After Control Experiment:</t>
  </si>
  <si>
    <t>Excluded compounds</t>
  </si>
  <si>
    <t>IF+3SD &amp; Fnorm+10units</t>
  </si>
  <si>
    <t>DDS Library</t>
  </si>
  <si>
    <t>** The ID in each well of the plate below corresponds to its original coordinate. For example, position B11 in the plate below corresponds to compound D14 in Plate 1 of the DDS library</t>
  </si>
  <si>
    <t>CD28 Hit for downstream validation (solid form requested to Enamine for binding-affinity studies and downstream validation)</t>
  </si>
  <si>
    <t>Coordinate in the plate above (focused library)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</si>
</sst>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right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2DD4-7FF0-4108-BD80-3653E60A56C3}">
  <sheetPr>
    <pageSetUpPr fitToPage="1"/>
  </sheetPr>
  <dimension ref="A2:AC36"/>
  <sheetViews>
    <sheetView tabSelected="1" workbookViewId="0"/>
  </sheetViews>
  <sheetFormatPr defaultRowHeight="15" x14ac:dyDescent="0.25"/>
  <cols>
    <col min="2" max="2" width="44" style="16" bestFit="1" customWidth="1"/>
    <col min="28" max="28" width="11.5703125" bestFit="1" customWidth="1"/>
  </cols>
  <sheetData>
    <row r="2" spans="2:28" x14ac:dyDescent="0.25">
      <c r="C2" s="30" t="s">
        <v>291</v>
      </c>
    </row>
    <row r="4" spans="2:28" s="16" customFormat="1" x14ac:dyDescent="0.25"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B4" s="11" t="s">
        <v>290</v>
      </c>
    </row>
    <row r="5" spans="2:28" ht="15.75" thickBot="1" x14ac:dyDescent="0.3">
      <c r="B5" s="3" t="s">
        <v>42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51</v>
      </c>
      <c r="L5" s="13" t="s">
        <v>52</v>
      </c>
      <c r="M5" s="13" t="s">
        <v>53</v>
      </c>
      <c r="N5" s="13" t="s">
        <v>54</v>
      </c>
      <c r="O5" s="13" t="s">
        <v>55</v>
      </c>
      <c r="P5" s="13" t="s">
        <v>56</v>
      </c>
      <c r="Q5" s="13" t="s">
        <v>57</v>
      </c>
      <c r="R5" s="13" t="s">
        <v>58</v>
      </c>
      <c r="S5" s="13" t="s">
        <v>59</v>
      </c>
      <c r="T5" s="13" t="s">
        <v>60</v>
      </c>
      <c r="U5" s="13" t="s">
        <v>61</v>
      </c>
      <c r="V5" s="13" t="s">
        <v>2</v>
      </c>
      <c r="W5" s="13" t="s">
        <v>62</v>
      </c>
      <c r="X5" s="13" t="s">
        <v>63</v>
      </c>
      <c r="Y5" s="1"/>
      <c r="Z5" s="1"/>
      <c r="AB5" s="31" t="s">
        <v>64</v>
      </c>
    </row>
    <row r="6" spans="2:28" ht="15.75" thickBot="1" x14ac:dyDescent="0.3">
      <c r="B6" s="3" t="s">
        <v>65</v>
      </c>
      <c r="C6" s="13" t="s">
        <v>66</v>
      </c>
      <c r="D6" s="13" t="s">
        <v>67</v>
      </c>
      <c r="E6" s="13" t="s">
        <v>68</v>
      </c>
      <c r="F6" s="13" t="s">
        <v>3</v>
      </c>
      <c r="G6" s="13" t="s">
        <v>69</v>
      </c>
      <c r="H6" s="13" t="s">
        <v>70</v>
      </c>
      <c r="I6" s="13" t="s">
        <v>71</v>
      </c>
      <c r="J6" s="13" t="s">
        <v>72</v>
      </c>
      <c r="K6" s="13" t="s">
        <v>73</v>
      </c>
      <c r="L6" s="13" t="s">
        <v>74</v>
      </c>
      <c r="M6" s="17" t="s">
        <v>75</v>
      </c>
      <c r="N6" s="13" t="s">
        <v>76</v>
      </c>
      <c r="O6" s="13" t="s">
        <v>77</v>
      </c>
      <c r="P6" s="13" t="s">
        <v>78</v>
      </c>
      <c r="Q6" s="13" t="s">
        <v>79</v>
      </c>
      <c r="R6" s="13" t="s">
        <v>80</v>
      </c>
      <c r="S6" s="17" t="s">
        <v>81</v>
      </c>
      <c r="T6" s="13" t="s">
        <v>82</v>
      </c>
      <c r="U6" s="13" t="s">
        <v>83</v>
      </c>
      <c r="V6" s="13" t="s">
        <v>84</v>
      </c>
      <c r="W6" s="13" t="s">
        <v>85</v>
      </c>
      <c r="X6" s="13" t="s">
        <v>86</v>
      </c>
      <c r="Y6" s="1"/>
      <c r="Z6" s="1"/>
      <c r="AB6" s="32" t="s">
        <v>87</v>
      </c>
    </row>
    <row r="7" spans="2:28" ht="15.75" thickBot="1" x14ac:dyDescent="0.3">
      <c r="B7" s="3" t="s">
        <v>88</v>
      </c>
      <c r="C7" s="13" t="s">
        <v>89</v>
      </c>
      <c r="D7" s="13" t="s">
        <v>90</v>
      </c>
      <c r="E7" s="13" t="s">
        <v>91</v>
      </c>
      <c r="F7" s="13" t="s">
        <v>92</v>
      </c>
      <c r="G7" s="13" t="s">
        <v>93</v>
      </c>
      <c r="H7" s="13" t="s">
        <v>94</v>
      </c>
      <c r="I7" s="13" t="s">
        <v>95</v>
      </c>
      <c r="J7" s="13" t="s">
        <v>96</v>
      </c>
      <c r="K7" s="13" t="s">
        <v>11</v>
      </c>
      <c r="L7" s="13" t="s">
        <v>97</v>
      </c>
      <c r="M7" s="13" t="s">
        <v>98</v>
      </c>
      <c r="N7" s="13" t="s">
        <v>99</v>
      </c>
      <c r="O7" s="13" t="s">
        <v>100</v>
      </c>
      <c r="P7" s="13" t="s">
        <v>101</v>
      </c>
      <c r="Q7" s="13" t="s">
        <v>102</v>
      </c>
      <c r="R7" s="13" t="s">
        <v>103</v>
      </c>
      <c r="S7" s="17" t="s">
        <v>104</v>
      </c>
      <c r="T7" s="13" t="s">
        <v>105</v>
      </c>
      <c r="U7" s="13" t="s">
        <v>106</v>
      </c>
      <c r="V7" s="13" t="s">
        <v>107</v>
      </c>
      <c r="W7" s="13" t="s">
        <v>108</v>
      </c>
      <c r="X7" s="17" t="s">
        <v>109</v>
      </c>
      <c r="Y7" s="1"/>
      <c r="Z7" s="1"/>
      <c r="AB7" s="33" t="s">
        <v>110</v>
      </c>
    </row>
    <row r="8" spans="2:28" ht="15.75" thickBot="1" x14ac:dyDescent="0.3">
      <c r="B8" s="3" t="s">
        <v>111</v>
      </c>
      <c r="C8" s="13" t="s">
        <v>112</v>
      </c>
      <c r="D8" s="13" t="s">
        <v>113</v>
      </c>
      <c r="E8" s="13" t="s">
        <v>114</v>
      </c>
      <c r="F8" s="13" t="s">
        <v>115</v>
      </c>
      <c r="G8" s="13" t="s">
        <v>116</v>
      </c>
      <c r="H8" s="13" t="s">
        <v>117</v>
      </c>
      <c r="I8" s="13" t="s">
        <v>118</v>
      </c>
      <c r="J8" s="13" t="s">
        <v>119</v>
      </c>
      <c r="K8" s="13" t="s">
        <v>120</v>
      </c>
      <c r="L8" s="13" t="s">
        <v>121</v>
      </c>
      <c r="M8" s="13" t="s">
        <v>20</v>
      </c>
      <c r="N8" s="13" t="s">
        <v>122</v>
      </c>
      <c r="O8" s="13" t="s">
        <v>123</v>
      </c>
      <c r="P8" s="13" t="s">
        <v>124</v>
      </c>
      <c r="Q8" s="13" t="s">
        <v>125</v>
      </c>
      <c r="R8" s="13" t="s">
        <v>126</v>
      </c>
      <c r="S8" s="13" t="s">
        <v>127</v>
      </c>
      <c r="T8" s="13" t="s">
        <v>128</v>
      </c>
      <c r="U8" s="17" t="s">
        <v>22</v>
      </c>
      <c r="V8" s="13" t="s">
        <v>129</v>
      </c>
      <c r="W8" s="13" t="s">
        <v>130</v>
      </c>
      <c r="X8" s="13" t="s">
        <v>25</v>
      </c>
      <c r="Y8" s="1"/>
      <c r="Z8" s="1"/>
      <c r="AB8" s="34" t="s">
        <v>131</v>
      </c>
    </row>
    <row r="9" spans="2:28" ht="15.75" thickBot="1" x14ac:dyDescent="0.3">
      <c r="B9" s="3" t="s">
        <v>132</v>
      </c>
      <c r="C9" s="13" t="s">
        <v>133</v>
      </c>
      <c r="D9" s="13" t="s">
        <v>134</v>
      </c>
      <c r="E9" s="13" t="s">
        <v>135</v>
      </c>
      <c r="F9" s="13" t="s">
        <v>136</v>
      </c>
      <c r="G9" s="13" t="s">
        <v>137</v>
      </c>
      <c r="H9" s="13" t="s">
        <v>27</v>
      </c>
      <c r="I9" s="13" t="s">
        <v>138</v>
      </c>
      <c r="J9" s="13" t="s">
        <v>139</v>
      </c>
      <c r="K9" s="13" t="s">
        <v>140</v>
      </c>
      <c r="L9" s="13" t="s">
        <v>141</v>
      </c>
      <c r="M9" s="13" t="s">
        <v>142</v>
      </c>
      <c r="N9" s="13" t="s">
        <v>143</v>
      </c>
      <c r="O9" s="13" t="s">
        <v>144</v>
      </c>
      <c r="P9" s="13" t="s">
        <v>145</v>
      </c>
      <c r="Q9" s="13" t="s">
        <v>146</v>
      </c>
      <c r="R9" s="17" t="s">
        <v>147</v>
      </c>
      <c r="S9" s="13" t="s">
        <v>148</v>
      </c>
      <c r="T9" s="12" t="s">
        <v>43</v>
      </c>
      <c r="U9" s="12" t="s">
        <v>149</v>
      </c>
      <c r="V9" s="12" t="s">
        <v>47</v>
      </c>
      <c r="W9" s="12" t="s">
        <v>150</v>
      </c>
      <c r="X9" s="12" t="s">
        <v>151</v>
      </c>
      <c r="Y9" s="1"/>
      <c r="Z9" s="1"/>
    </row>
    <row r="10" spans="2:28" ht="15.75" thickBot="1" x14ac:dyDescent="0.3">
      <c r="B10" s="3" t="s">
        <v>152</v>
      </c>
      <c r="C10" s="12" t="s">
        <v>54</v>
      </c>
      <c r="D10" s="12" t="s">
        <v>58</v>
      </c>
      <c r="E10" s="12" t="s">
        <v>2</v>
      </c>
      <c r="F10" s="12" t="s">
        <v>153</v>
      </c>
      <c r="G10" s="12" t="s">
        <v>154</v>
      </c>
      <c r="H10" s="12" t="s">
        <v>155</v>
      </c>
      <c r="I10" s="12" t="s">
        <v>156</v>
      </c>
      <c r="J10" s="12" t="s">
        <v>157</v>
      </c>
      <c r="K10" s="12" t="s">
        <v>158</v>
      </c>
      <c r="L10" s="12" t="s">
        <v>66</v>
      </c>
      <c r="M10" s="12" t="s">
        <v>159</v>
      </c>
      <c r="N10" s="12" t="s">
        <v>160</v>
      </c>
      <c r="O10" s="18" t="s">
        <v>67</v>
      </c>
      <c r="P10" s="12" t="s">
        <v>68</v>
      </c>
      <c r="Q10" s="12" t="s">
        <v>161</v>
      </c>
      <c r="R10" s="12" t="s">
        <v>162</v>
      </c>
      <c r="S10" s="12" t="s">
        <v>73</v>
      </c>
      <c r="T10" s="12" t="s">
        <v>163</v>
      </c>
      <c r="U10" s="12" t="s">
        <v>164</v>
      </c>
      <c r="V10" s="12" t="s">
        <v>77</v>
      </c>
      <c r="W10" s="12" t="s">
        <v>165</v>
      </c>
      <c r="X10" s="12" t="s">
        <v>166</v>
      </c>
      <c r="Y10" s="1"/>
      <c r="Z10" s="1"/>
    </row>
    <row r="11" spans="2:28" ht="15.75" thickBot="1" x14ac:dyDescent="0.3">
      <c r="B11" s="3" t="s">
        <v>167</v>
      </c>
      <c r="C11" s="12" t="s">
        <v>168</v>
      </c>
      <c r="D11" s="12" t="s">
        <v>169</v>
      </c>
      <c r="E11" s="18" t="s">
        <v>170</v>
      </c>
      <c r="F11" s="18" t="s">
        <v>171</v>
      </c>
      <c r="G11" s="12" t="s">
        <v>79</v>
      </c>
      <c r="H11" s="12" t="s">
        <v>172</v>
      </c>
      <c r="I11" s="12" t="s">
        <v>80</v>
      </c>
      <c r="J11" s="12" t="s">
        <v>173</v>
      </c>
      <c r="K11" s="12" t="s">
        <v>82</v>
      </c>
      <c r="L11" s="12" t="s">
        <v>174</v>
      </c>
      <c r="M11" s="18" t="s">
        <v>175</v>
      </c>
      <c r="N11" s="12" t="s">
        <v>176</v>
      </c>
      <c r="O11" s="12" t="s">
        <v>7</v>
      </c>
      <c r="P11" s="12" t="s">
        <v>177</v>
      </c>
      <c r="Q11" s="12" t="s">
        <v>178</v>
      </c>
      <c r="R11" s="12" t="s">
        <v>179</v>
      </c>
      <c r="S11" s="12" t="s">
        <v>180</v>
      </c>
      <c r="T11" s="12" t="s">
        <v>181</v>
      </c>
      <c r="U11" s="12" t="s">
        <v>182</v>
      </c>
      <c r="V11" s="12" t="s">
        <v>183</v>
      </c>
      <c r="W11" s="12" t="s">
        <v>86</v>
      </c>
      <c r="X11" s="12" t="s">
        <v>184</v>
      </c>
      <c r="Y11" s="1"/>
      <c r="Z11" s="1"/>
    </row>
    <row r="12" spans="2:28" ht="15.75" thickBot="1" x14ac:dyDescent="0.3">
      <c r="B12" s="3" t="s">
        <v>185</v>
      </c>
      <c r="C12" s="12" t="s">
        <v>10</v>
      </c>
      <c r="D12" s="12" t="s">
        <v>186</v>
      </c>
      <c r="E12" s="12" t="s">
        <v>187</v>
      </c>
      <c r="F12" s="12" t="s">
        <v>188</v>
      </c>
      <c r="G12" s="12" t="s">
        <v>189</v>
      </c>
      <c r="H12" s="12" t="s">
        <v>190</v>
      </c>
      <c r="I12" s="12" t="s">
        <v>191</v>
      </c>
      <c r="J12" s="12" t="s">
        <v>192</v>
      </c>
      <c r="K12" s="12" t="s">
        <v>193</v>
      </c>
      <c r="L12" s="12" t="s">
        <v>96</v>
      </c>
      <c r="M12" s="12" t="s">
        <v>11</v>
      </c>
      <c r="N12" s="12" t="s">
        <v>97</v>
      </c>
      <c r="O12" s="12" t="s">
        <v>194</v>
      </c>
      <c r="P12" s="12" t="s">
        <v>195</v>
      </c>
      <c r="Q12" s="12" t="s">
        <v>101</v>
      </c>
      <c r="R12" s="12" t="s">
        <v>14</v>
      </c>
      <c r="S12" s="18" t="s">
        <v>196</v>
      </c>
      <c r="T12" s="18" t="s">
        <v>102</v>
      </c>
      <c r="U12" s="12" t="s">
        <v>104</v>
      </c>
      <c r="V12" s="12" t="s">
        <v>107</v>
      </c>
      <c r="W12" s="12" t="s">
        <v>108</v>
      </c>
      <c r="X12" s="12" t="s">
        <v>113</v>
      </c>
      <c r="Y12" s="1"/>
      <c r="Z12" s="1"/>
    </row>
    <row r="13" spans="2:28" ht="15.75" thickBot="1" x14ac:dyDescent="0.3">
      <c r="B13" s="3" t="s">
        <v>197</v>
      </c>
      <c r="C13" s="12" t="s">
        <v>198</v>
      </c>
      <c r="D13" s="12" t="s">
        <v>199</v>
      </c>
      <c r="E13" s="12" t="s">
        <v>200</v>
      </c>
      <c r="F13" s="12" t="s">
        <v>116</v>
      </c>
      <c r="G13" s="12" t="s">
        <v>201</v>
      </c>
      <c r="H13" s="18" t="s">
        <v>202</v>
      </c>
      <c r="I13" s="12" t="s">
        <v>203</v>
      </c>
      <c r="J13" s="12" t="s">
        <v>204</v>
      </c>
      <c r="K13" s="12" t="s">
        <v>205</v>
      </c>
      <c r="L13" s="12" t="s">
        <v>206</v>
      </c>
      <c r="M13" s="18" t="s">
        <v>207</v>
      </c>
      <c r="N13" s="12" t="s">
        <v>208</v>
      </c>
      <c r="O13" s="12" t="s">
        <v>118</v>
      </c>
      <c r="P13" s="12" t="s">
        <v>209</v>
      </c>
      <c r="Q13" s="12" t="s">
        <v>210</v>
      </c>
      <c r="R13" s="12" t="s">
        <v>211</v>
      </c>
      <c r="S13" s="18" t="s">
        <v>212</v>
      </c>
      <c r="T13" s="12" t="s">
        <v>213</v>
      </c>
      <c r="U13" s="12" t="s">
        <v>119</v>
      </c>
      <c r="V13" s="12" t="s">
        <v>19</v>
      </c>
      <c r="W13" s="12" t="s">
        <v>214</v>
      </c>
      <c r="X13" s="12" t="s">
        <v>127</v>
      </c>
      <c r="Y13" s="1"/>
      <c r="Z13" s="1"/>
    </row>
    <row r="14" spans="2:28" ht="15.75" thickBot="1" x14ac:dyDescent="0.3">
      <c r="B14" s="3" t="s">
        <v>215</v>
      </c>
      <c r="C14" s="12" t="s">
        <v>216</v>
      </c>
      <c r="D14" s="12" t="s">
        <v>128</v>
      </c>
      <c r="E14" s="12" t="s">
        <v>217</v>
      </c>
      <c r="F14" s="12" t="s">
        <v>218</v>
      </c>
      <c r="G14" s="12" t="s">
        <v>219</v>
      </c>
      <c r="H14" s="12" t="s">
        <v>220</v>
      </c>
      <c r="I14" s="12" t="s">
        <v>221</v>
      </c>
      <c r="J14" s="12" t="s">
        <v>25</v>
      </c>
      <c r="K14" s="12" t="s">
        <v>222</v>
      </c>
      <c r="L14" s="18" t="s">
        <v>223</v>
      </c>
      <c r="M14" s="12" t="s">
        <v>224</v>
      </c>
      <c r="N14" s="12" t="s">
        <v>225</v>
      </c>
      <c r="O14" s="12" t="s">
        <v>226</v>
      </c>
      <c r="P14" s="12" t="s">
        <v>227</v>
      </c>
      <c r="Q14" s="12" t="s">
        <v>137</v>
      </c>
      <c r="R14" s="12" t="s">
        <v>228</v>
      </c>
      <c r="S14" s="12" t="s">
        <v>229</v>
      </c>
      <c r="T14" s="12" t="s">
        <v>230</v>
      </c>
      <c r="U14" s="12" t="s">
        <v>231</v>
      </c>
      <c r="V14" s="12" t="s">
        <v>232</v>
      </c>
      <c r="W14" s="12" t="s">
        <v>141</v>
      </c>
      <c r="X14" s="12" t="s">
        <v>233</v>
      </c>
      <c r="Y14" s="1"/>
      <c r="Z14" s="1"/>
    </row>
    <row r="15" spans="2:28" ht="15.75" thickBot="1" x14ac:dyDescent="0.3">
      <c r="B15" s="3" t="s">
        <v>234</v>
      </c>
      <c r="C15" s="12" t="s">
        <v>143</v>
      </c>
      <c r="D15" s="12" t="s">
        <v>235</v>
      </c>
      <c r="E15" s="12" t="s">
        <v>236</v>
      </c>
      <c r="F15" s="12" t="s">
        <v>146</v>
      </c>
      <c r="G15" s="12" t="s">
        <v>237</v>
      </c>
      <c r="H15" s="12" t="s">
        <v>238</v>
      </c>
      <c r="I15" s="14" t="s">
        <v>239</v>
      </c>
      <c r="J15" s="14" t="s">
        <v>240</v>
      </c>
      <c r="K15" s="19" t="s">
        <v>44</v>
      </c>
      <c r="L15" s="14" t="s">
        <v>47</v>
      </c>
      <c r="M15" s="14" t="s">
        <v>150</v>
      </c>
      <c r="N15" s="14" t="s">
        <v>151</v>
      </c>
      <c r="O15" s="14" t="s">
        <v>54</v>
      </c>
      <c r="P15" s="14" t="s">
        <v>56</v>
      </c>
      <c r="Q15" s="14" t="s">
        <v>241</v>
      </c>
      <c r="R15" s="14" t="s">
        <v>59</v>
      </c>
      <c r="S15" s="14" t="s">
        <v>242</v>
      </c>
      <c r="T15" s="14" t="s">
        <v>243</v>
      </c>
      <c r="U15" s="14" t="s">
        <v>158</v>
      </c>
      <c r="V15" s="14" t="s">
        <v>66</v>
      </c>
      <c r="W15" s="14" t="s">
        <v>244</v>
      </c>
      <c r="X15" s="14" t="s">
        <v>69</v>
      </c>
      <c r="Y15" s="1"/>
      <c r="Z15" s="1"/>
    </row>
    <row r="16" spans="2:28" ht="15.75" thickBot="1" x14ac:dyDescent="0.3">
      <c r="B16" s="3" t="s">
        <v>245</v>
      </c>
      <c r="C16" s="14" t="s">
        <v>161</v>
      </c>
      <c r="D16" s="14" t="s">
        <v>4</v>
      </c>
      <c r="E16" s="14" t="s">
        <v>246</v>
      </c>
      <c r="F16" s="14" t="s">
        <v>247</v>
      </c>
      <c r="G16" s="19" t="s">
        <v>162</v>
      </c>
      <c r="H16" s="14" t="s">
        <v>248</v>
      </c>
      <c r="I16" s="14" t="s">
        <v>74</v>
      </c>
      <c r="J16" s="14" t="s">
        <v>249</v>
      </c>
      <c r="K16" s="14" t="s">
        <v>76</v>
      </c>
      <c r="L16" s="19" t="s">
        <v>250</v>
      </c>
      <c r="M16" s="14" t="s">
        <v>6</v>
      </c>
      <c r="N16" s="14" t="s">
        <v>170</v>
      </c>
      <c r="O16" s="14" t="s">
        <v>251</v>
      </c>
      <c r="P16" s="14" t="s">
        <v>172</v>
      </c>
      <c r="Q16" s="19" t="s">
        <v>81</v>
      </c>
      <c r="R16" s="14" t="s">
        <v>177</v>
      </c>
      <c r="S16" s="14" t="s">
        <v>178</v>
      </c>
      <c r="T16" s="14" t="s">
        <v>252</v>
      </c>
      <c r="U16" s="14" t="s">
        <v>84</v>
      </c>
      <c r="V16" s="14" t="s">
        <v>180</v>
      </c>
      <c r="W16" s="19" t="s">
        <v>253</v>
      </c>
      <c r="X16" s="14" t="s">
        <v>182</v>
      </c>
      <c r="Y16" s="1"/>
      <c r="Z16" s="1"/>
    </row>
    <row r="17" spans="1:29" ht="15.75" thickBot="1" x14ac:dyDescent="0.3">
      <c r="B17" s="3" t="s">
        <v>254</v>
      </c>
      <c r="C17" s="14" t="s">
        <v>8</v>
      </c>
      <c r="D17" s="14" t="s">
        <v>86</v>
      </c>
      <c r="E17" s="14" t="s">
        <v>255</v>
      </c>
      <c r="F17" s="14" t="s">
        <v>91</v>
      </c>
      <c r="G17" s="19" t="s">
        <v>189</v>
      </c>
      <c r="H17" s="14" t="s">
        <v>92</v>
      </c>
      <c r="I17" s="14" t="s">
        <v>190</v>
      </c>
      <c r="J17" s="19" t="s">
        <v>193</v>
      </c>
      <c r="K17" s="14" t="s">
        <v>96</v>
      </c>
      <c r="L17" s="14" t="s">
        <v>98</v>
      </c>
      <c r="M17" s="14" t="s">
        <v>194</v>
      </c>
      <c r="N17" s="14" t="s">
        <v>256</v>
      </c>
      <c r="O17" s="14" t="s">
        <v>257</v>
      </c>
      <c r="P17" s="14" t="s">
        <v>15</v>
      </c>
      <c r="Q17" s="14" t="s">
        <v>258</v>
      </c>
      <c r="R17" s="14" t="s">
        <v>106</v>
      </c>
      <c r="S17" s="14" t="s">
        <v>259</v>
      </c>
      <c r="T17" s="14" t="s">
        <v>108</v>
      </c>
      <c r="U17" s="14" t="s">
        <v>115</v>
      </c>
      <c r="V17" s="19" t="s">
        <v>199</v>
      </c>
      <c r="W17" s="14" t="s">
        <v>116</v>
      </c>
      <c r="X17" s="19" t="s">
        <v>201</v>
      </c>
      <c r="Y17" s="1"/>
      <c r="Z17" s="1"/>
    </row>
    <row r="18" spans="1:29" ht="15.75" thickBot="1" x14ac:dyDescent="0.3">
      <c r="B18" s="3" t="s">
        <v>260</v>
      </c>
      <c r="C18" s="14" t="s">
        <v>261</v>
      </c>
      <c r="D18" s="14" t="s">
        <v>262</v>
      </c>
      <c r="E18" s="14" t="s">
        <v>204</v>
      </c>
      <c r="F18" s="14" t="s">
        <v>263</v>
      </c>
      <c r="G18" s="14" t="s">
        <v>206</v>
      </c>
      <c r="H18" s="14" t="s">
        <v>264</v>
      </c>
      <c r="I18" s="14" t="s">
        <v>265</v>
      </c>
      <c r="J18" s="14" t="s">
        <v>211</v>
      </c>
      <c r="K18" s="14" t="s">
        <v>266</v>
      </c>
      <c r="L18" s="14" t="s">
        <v>119</v>
      </c>
      <c r="M18" s="14" t="s">
        <v>267</v>
      </c>
      <c r="N18" s="14" t="s">
        <v>121</v>
      </c>
      <c r="O18" s="14" t="s">
        <v>20</v>
      </c>
      <c r="P18" s="14" t="s">
        <v>123</v>
      </c>
      <c r="Q18" s="14" t="s">
        <v>126</v>
      </c>
      <c r="R18" s="14" t="s">
        <v>216</v>
      </c>
      <c r="S18" s="14" t="s">
        <v>268</v>
      </c>
      <c r="T18" s="14" t="s">
        <v>269</v>
      </c>
      <c r="U18" s="14" t="s">
        <v>219</v>
      </c>
      <c r="V18" s="19" t="s">
        <v>270</v>
      </c>
      <c r="W18" s="19" t="s">
        <v>221</v>
      </c>
      <c r="X18" s="14" t="s">
        <v>25</v>
      </c>
      <c r="Y18" s="1"/>
      <c r="Z18" s="1"/>
    </row>
    <row r="19" spans="1:29" ht="15.75" thickBot="1" x14ac:dyDescent="0.3">
      <c r="B19" s="3" t="s">
        <v>271</v>
      </c>
      <c r="C19" s="14" t="s">
        <v>134</v>
      </c>
      <c r="D19" s="14" t="s">
        <v>223</v>
      </c>
      <c r="E19" s="14" t="s">
        <v>272</v>
      </c>
      <c r="F19" s="14" t="s">
        <v>273</v>
      </c>
      <c r="G19" s="14" t="s">
        <v>224</v>
      </c>
      <c r="H19" s="14" t="s">
        <v>26</v>
      </c>
      <c r="I19" s="14" t="s">
        <v>27</v>
      </c>
      <c r="J19" s="14" t="s">
        <v>229</v>
      </c>
      <c r="K19" s="14" t="s">
        <v>230</v>
      </c>
      <c r="L19" s="14" t="s">
        <v>138</v>
      </c>
      <c r="M19" s="14" t="s">
        <v>141</v>
      </c>
      <c r="N19" s="14" t="s">
        <v>274</v>
      </c>
      <c r="O19" s="14" t="s">
        <v>28</v>
      </c>
      <c r="P19" s="14" t="s">
        <v>142</v>
      </c>
      <c r="Q19" s="14" t="s">
        <v>235</v>
      </c>
      <c r="R19" s="14" t="s">
        <v>275</v>
      </c>
      <c r="S19" s="14" t="s">
        <v>147</v>
      </c>
      <c r="T19" s="14" t="s">
        <v>276</v>
      </c>
      <c r="U19" s="14" t="s">
        <v>277</v>
      </c>
      <c r="V19" s="14" t="s">
        <v>148</v>
      </c>
      <c r="W19" s="1"/>
      <c r="X19" s="1"/>
      <c r="Y19" s="1"/>
      <c r="Z19" s="1"/>
    </row>
    <row r="20" spans="1:29" ht="15.75" thickBot="1" x14ac:dyDescent="0.3">
      <c r="B20" s="3" t="s">
        <v>278</v>
      </c>
      <c r="C20" s="15" t="s">
        <v>279</v>
      </c>
      <c r="D20" s="15" t="s">
        <v>56</v>
      </c>
      <c r="E20" s="15" t="s">
        <v>280</v>
      </c>
      <c r="F20" s="15" t="s">
        <v>281</v>
      </c>
      <c r="G20" s="15" t="s">
        <v>72</v>
      </c>
      <c r="H20" s="15" t="s">
        <v>247</v>
      </c>
      <c r="I20" s="15" t="s">
        <v>282</v>
      </c>
      <c r="J20" s="15" t="s">
        <v>78</v>
      </c>
      <c r="K20" s="15" t="s">
        <v>172</v>
      </c>
      <c r="L20" s="15" t="s">
        <v>195</v>
      </c>
      <c r="M20" s="20" t="s">
        <v>105</v>
      </c>
      <c r="N20" s="20" t="s">
        <v>117</v>
      </c>
      <c r="O20" s="15" t="s">
        <v>127</v>
      </c>
      <c r="P20" s="15" t="s">
        <v>222</v>
      </c>
      <c r="Q20" s="15" t="s">
        <v>283</v>
      </c>
      <c r="R20" s="15" t="s">
        <v>142</v>
      </c>
      <c r="S20" s="15" t="s">
        <v>143</v>
      </c>
      <c r="T20" s="1"/>
      <c r="U20" s="1"/>
      <c r="V20" s="1"/>
      <c r="W20" s="1"/>
      <c r="X20" s="1"/>
      <c r="Y20" s="1"/>
      <c r="Z20" s="1"/>
    </row>
    <row r="22" spans="1:29" x14ac:dyDescent="0.25">
      <c r="C22" s="24" t="s">
        <v>285</v>
      </c>
    </row>
    <row r="23" spans="1:29" ht="15.75" thickBot="1" x14ac:dyDescent="0.3"/>
    <row r="24" spans="1:29" ht="15.75" thickBot="1" x14ac:dyDescent="0.3">
      <c r="B24" s="3" t="s">
        <v>293</v>
      </c>
      <c r="C24" s="18" t="s">
        <v>1</v>
      </c>
      <c r="D24" s="18" t="s">
        <v>3</v>
      </c>
      <c r="E24" s="18" t="s">
        <v>4</v>
      </c>
      <c r="F24" s="18" t="s">
        <v>6</v>
      </c>
      <c r="G24" s="21" t="s">
        <v>8</v>
      </c>
      <c r="H24" s="18" t="s">
        <v>9</v>
      </c>
      <c r="I24" s="18" t="s">
        <v>11</v>
      </c>
      <c r="J24" s="18" t="s">
        <v>12</v>
      </c>
      <c r="K24" s="17" t="s">
        <v>2</v>
      </c>
      <c r="L24" s="17" t="s">
        <v>5</v>
      </c>
      <c r="M24" s="17" t="s">
        <v>7</v>
      </c>
      <c r="N24" s="17" t="s">
        <v>10</v>
      </c>
    </row>
    <row r="25" spans="1:29" x14ac:dyDescent="0.25">
      <c r="B25" s="3" t="s">
        <v>286</v>
      </c>
      <c r="C25" s="12">
        <v>890.4</v>
      </c>
      <c r="D25" s="12">
        <v>932</v>
      </c>
      <c r="E25" s="12">
        <v>922.2</v>
      </c>
      <c r="F25" s="12">
        <v>893.6</v>
      </c>
      <c r="G25" s="12">
        <v>891.8</v>
      </c>
      <c r="H25" s="12">
        <v>931.3</v>
      </c>
      <c r="I25" s="12">
        <v>919.2</v>
      </c>
      <c r="J25" s="12">
        <v>894.1</v>
      </c>
      <c r="K25" s="13">
        <v>914.9</v>
      </c>
      <c r="L25" s="13">
        <v>915.4</v>
      </c>
      <c r="M25" s="13">
        <v>915.3</v>
      </c>
      <c r="N25" s="13">
        <v>915.7</v>
      </c>
    </row>
    <row r="26" spans="1:29" ht="15.75" thickBot="1" x14ac:dyDescent="0.3">
      <c r="B26" s="3"/>
    </row>
    <row r="27" spans="1:29" ht="15.75" thickBot="1" x14ac:dyDescent="0.3">
      <c r="B27" s="3" t="s">
        <v>293</v>
      </c>
      <c r="C27" s="18" t="s">
        <v>18</v>
      </c>
      <c r="D27" s="18" t="s">
        <v>21</v>
      </c>
      <c r="E27" s="18" t="s">
        <v>23</v>
      </c>
      <c r="F27" s="18" t="s">
        <v>25</v>
      </c>
      <c r="G27" s="18" t="s">
        <v>29</v>
      </c>
      <c r="H27" s="18" t="s">
        <v>30</v>
      </c>
      <c r="I27" s="17" t="s">
        <v>13</v>
      </c>
      <c r="J27" s="17" t="s">
        <v>14</v>
      </c>
      <c r="K27" s="17" t="s">
        <v>15</v>
      </c>
      <c r="L27" s="17" t="s">
        <v>16</v>
      </c>
      <c r="M27" s="17" t="s">
        <v>17</v>
      </c>
      <c r="N27" s="17" t="s">
        <v>19</v>
      </c>
      <c r="O27" s="17" t="s">
        <v>20</v>
      </c>
      <c r="P27" s="17" t="s">
        <v>22</v>
      </c>
      <c r="Q27" s="17" t="s">
        <v>24</v>
      </c>
      <c r="R27" s="17" t="s">
        <v>26</v>
      </c>
      <c r="S27" s="17" t="s">
        <v>27</v>
      </c>
    </row>
    <row r="28" spans="1:29" x14ac:dyDescent="0.25">
      <c r="B28" s="3" t="s">
        <v>286</v>
      </c>
      <c r="C28" s="12">
        <v>849.3</v>
      </c>
      <c r="D28" s="12">
        <v>890.9</v>
      </c>
      <c r="E28" s="12">
        <v>888</v>
      </c>
      <c r="F28" s="12">
        <v>892.9</v>
      </c>
      <c r="G28" s="12">
        <v>930.1</v>
      </c>
      <c r="H28" s="12">
        <v>916.3</v>
      </c>
      <c r="I28" s="13">
        <v>912.6</v>
      </c>
      <c r="J28" s="13">
        <v>912.5</v>
      </c>
      <c r="K28" s="13">
        <v>913.7</v>
      </c>
      <c r="L28" s="13">
        <v>912.9</v>
      </c>
      <c r="M28" s="13">
        <v>896.2</v>
      </c>
      <c r="N28" s="13">
        <v>914</v>
      </c>
      <c r="O28" s="13">
        <v>914.2</v>
      </c>
      <c r="P28" s="13">
        <v>896.3</v>
      </c>
      <c r="Q28" s="13">
        <v>896.1</v>
      </c>
      <c r="R28" s="13">
        <v>912</v>
      </c>
      <c r="S28" s="13">
        <v>895.3</v>
      </c>
    </row>
    <row r="29" spans="1:29" x14ac:dyDescent="0.25">
      <c r="A29" s="35"/>
      <c r="B29" s="2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 x14ac:dyDescent="0.25">
      <c r="B30" s="3"/>
    </row>
    <row r="31" spans="1:29" x14ac:dyDescent="0.25">
      <c r="B31" s="3" t="s">
        <v>287</v>
      </c>
      <c r="C31" s="16" t="s">
        <v>289</v>
      </c>
    </row>
    <row r="32" spans="1:29" ht="15.75" thickBot="1" x14ac:dyDescent="0.3">
      <c r="B32"/>
    </row>
    <row r="33" spans="3:22" ht="15.75" thickBot="1" x14ac:dyDescent="0.3">
      <c r="C33" s="23" t="s">
        <v>1</v>
      </c>
      <c r="D33" s="22" t="s">
        <v>3</v>
      </c>
      <c r="E33" s="22" t="s">
        <v>4</v>
      </c>
      <c r="F33" s="23" t="s">
        <v>6</v>
      </c>
      <c r="G33" s="25" t="s">
        <v>8</v>
      </c>
      <c r="H33" s="22" t="s">
        <v>9</v>
      </c>
      <c r="I33" s="22" t="s">
        <v>11</v>
      </c>
      <c r="J33" s="23" t="s">
        <v>12</v>
      </c>
      <c r="K33" s="23" t="s">
        <v>2</v>
      </c>
      <c r="L33" s="23" t="s">
        <v>5</v>
      </c>
      <c r="M33" s="23" t="s">
        <v>7</v>
      </c>
      <c r="N33" s="23" t="s">
        <v>10</v>
      </c>
    </row>
    <row r="34" spans="3:22" ht="15.75" thickBot="1" x14ac:dyDescent="0.3">
      <c r="U34" s="23">
        <v>16</v>
      </c>
      <c r="V34" t="s">
        <v>292</v>
      </c>
    </row>
    <row r="35" spans="3:22" ht="15.75" thickBot="1" x14ac:dyDescent="0.3">
      <c r="U35" s="22">
        <v>13</v>
      </c>
      <c r="V35" t="s">
        <v>288</v>
      </c>
    </row>
    <row r="36" spans="3:22" ht="15.75" thickBot="1" x14ac:dyDescent="0.3">
      <c r="C36" s="23" t="s">
        <v>18</v>
      </c>
      <c r="D36" s="22" t="s">
        <v>21</v>
      </c>
      <c r="E36" s="22" t="s">
        <v>23</v>
      </c>
      <c r="F36" s="23" t="s">
        <v>25</v>
      </c>
      <c r="G36" s="22" t="s">
        <v>29</v>
      </c>
      <c r="H36" s="23" t="s">
        <v>30</v>
      </c>
      <c r="I36" s="22" t="s">
        <v>13</v>
      </c>
      <c r="J36" s="22" t="s">
        <v>14</v>
      </c>
      <c r="K36" s="22" t="s">
        <v>15</v>
      </c>
      <c r="L36" s="23" t="s">
        <v>16</v>
      </c>
      <c r="M36" s="23" t="s">
        <v>17</v>
      </c>
      <c r="N36" s="23" t="s">
        <v>19</v>
      </c>
      <c r="O36" s="22" t="s">
        <v>20</v>
      </c>
      <c r="P36" s="23" t="s">
        <v>22</v>
      </c>
      <c r="Q36" s="22" t="s">
        <v>24</v>
      </c>
      <c r="R36" s="23" t="s">
        <v>26</v>
      </c>
      <c r="S36" s="23" t="s">
        <v>27</v>
      </c>
    </row>
  </sheetData>
  <pageMargins left="0.25" right="0.25" top="0.75" bottom="0.75" header="0.3" footer="0.3"/>
  <pageSetup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0ADD-6C34-4091-B70A-C96871B328F7}">
  <dimension ref="B2:T53"/>
  <sheetViews>
    <sheetView zoomScaleNormal="100" workbookViewId="0">
      <selection activeCell="N43" sqref="N43"/>
    </sheetView>
  </sheetViews>
  <sheetFormatPr defaultRowHeight="15" x14ac:dyDescent="0.25"/>
  <cols>
    <col min="1" max="1" width="9.140625" style="1"/>
    <col min="2" max="2" width="14.7109375" style="1" bestFit="1" customWidth="1"/>
    <col min="3" max="3" width="15.5703125" style="1" bestFit="1" customWidth="1"/>
    <col min="4" max="9" width="6" style="1" bestFit="1" customWidth="1"/>
    <col min="10" max="10" width="7" style="1" bestFit="1" customWidth="1"/>
    <col min="11" max="16" width="6" style="1" bestFit="1" customWidth="1"/>
    <col min="17" max="17" width="4.140625" style="1" bestFit="1" customWidth="1"/>
    <col min="18" max="25" width="6" style="1" bestFit="1" customWidth="1"/>
    <col min="26" max="16384" width="9.140625" style="1"/>
  </cols>
  <sheetData>
    <row r="2" spans="2:15" x14ac:dyDescent="0.25">
      <c r="B2" s="11" t="s">
        <v>40</v>
      </c>
      <c r="C2" s="1" t="s">
        <v>0</v>
      </c>
      <c r="D2" s="6" t="s">
        <v>1</v>
      </c>
      <c r="E2" s="6" t="s">
        <v>3</v>
      </c>
      <c r="F2" s="6" t="s">
        <v>4</v>
      </c>
      <c r="G2" s="6" t="s">
        <v>6</v>
      </c>
      <c r="H2" s="6" t="s">
        <v>8</v>
      </c>
      <c r="I2" s="6" t="s">
        <v>9</v>
      </c>
      <c r="J2" s="6" t="s">
        <v>11</v>
      </c>
      <c r="K2" s="6" t="s">
        <v>12</v>
      </c>
      <c r="L2" s="8" t="s">
        <v>2</v>
      </c>
      <c r="M2" s="8" t="s">
        <v>5</v>
      </c>
      <c r="N2" s="8" t="s">
        <v>7</v>
      </c>
      <c r="O2" s="8" t="s">
        <v>10</v>
      </c>
    </row>
    <row r="3" spans="2:15" x14ac:dyDescent="0.25">
      <c r="C3" s="1">
        <v>905.8</v>
      </c>
      <c r="D3" s="6">
        <v>890.4</v>
      </c>
      <c r="E3" s="6">
        <v>932</v>
      </c>
      <c r="F3" s="6">
        <v>922.2</v>
      </c>
      <c r="G3" s="6">
        <v>893.6</v>
      </c>
      <c r="H3" s="6">
        <v>891.8</v>
      </c>
      <c r="I3" s="6">
        <v>931.3</v>
      </c>
      <c r="J3" s="6">
        <v>919.2</v>
      </c>
      <c r="K3" s="6">
        <v>894.1</v>
      </c>
      <c r="L3" s="8">
        <v>914.9</v>
      </c>
      <c r="M3" s="8">
        <v>915.4</v>
      </c>
      <c r="N3" s="8">
        <v>915.3</v>
      </c>
      <c r="O3" s="8">
        <v>915.7</v>
      </c>
    </row>
    <row r="4" spans="2:15" x14ac:dyDescent="0.25">
      <c r="C4" s="1">
        <v>906.3</v>
      </c>
    </row>
    <row r="5" spans="2:15" x14ac:dyDescent="0.25">
      <c r="C5" s="1">
        <v>907.8</v>
      </c>
    </row>
    <row r="6" spans="2:15" x14ac:dyDescent="0.25">
      <c r="C6" s="1">
        <v>903</v>
      </c>
    </row>
    <row r="7" spans="2:15" x14ac:dyDescent="0.25">
      <c r="C7" s="1">
        <v>906.6</v>
      </c>
    </row>
    <row r="8" spans="2:15" x14ac:dyDescent="0.25">
      <c r="C8" s="1">
        <v>900.7</v>
      </c>
    </row>
    <row r="9" spans="2:15" x14ac:dyDescent="0.25">
      <c r="C9" s="1">
        <v>909.2</v>
      </c>
    </row>
    <row r="11" spans="2:15" x14ac:dyDescent="0.25">
      <c r="C11" s="1">
        <v>907.9</v>
      </c>
    </row>
    <row r="12" spans="2:15" x14ac:dyDescent="0.25">
      <c r="C12" s="1">
        <v>904.3</v>
      </c>
    </row>
    <row r="13" spans="2:15" x14ac:dyDescent="0.25">
      <c r="C13" s="1">
        <v>910.2</v>
      </c>
    </row>
    <row r="14" spans="2:15" x14ac:dyDescent="0.25">
      <c r="C14" s="1">
        <v>908.2</v>
      </c>
    </row>
    <row r="15" spans="2:15" x14ac:dyDescent="0.25">
      <c r="C15" s="1">
        <v>909.5</v>
      </c>
    </row>
    <row r="16" spans="2:15" x14ac:dyDescent="0.25">
      <c r="C16" s="1">
        <v>907</v>
      </c>
    </row>
    <row r="17" spans="2:20" x14ac:dyDescent="0.25">
      <c r="C17" s="1">
        <v>907.5</v>
      </c>
    </row>
    <row r="18" spans="2:20" x14ac:dyDescent="0.25">
      <c r="C18" s="1">
        <v>908.5</v>
      </c>
    </row>
    <row r="20" spans="2:20" x14ac:dyDescent="0.25">
      <c r="B20" s="3" t="s">
        <v>31</v>
      </c>
      <c r="C20" s="2">
        <f>AVERAGE(C3:C18)</f>
        <v>906.83333333333337</v>
      </c>
    </row>
    <row r="21" spans="2:20" x14ac:dyDescent="0.25">
      <c r="B21" s="3" t="s">
        <v>32</v>
      </c>
      <c r="C21" s="2">
        <f>STDEV(C3:C18)</f>
        <v>2.5547341675146344</v>
      </c>
    </row>
    <row r="22" spans="2:20" x14ac:dyDescent="0.25">
      <c r="B22" s="3"/>
      <c r="C22" s="2"/>
    </row>
    <row r="23" spans="2:20" x14ac:dyDescent="0.25">
      <c r="B23" s="4" t="s">
        <v>33</v>
      </c>
      <c r="C23" s="5">
        <f>C20+10</f>
        <v>916.83333333333337</v>
      </c>
      <c r="D23" s="26" t="s">
        <v>37</v>
      </c>
      <c r="E23" s="26"/>
      <c r="F23" s="26"/>
      <c r="G23" s="26"/>
      <c r="H23" s="26"/>
      <c r="I23" s="26"/>
      <c r="J23" s="26"/>
      <c r="K23" s="26"/>
      <c r="P23" s="10"/>
    </row>
    <row r="24" spans="2:20" x14ac:dyDescent="0.25">
      <c r="B24" s="4" t="s">
        <v>34</v>
      </c>
      <c r="C24" s="5">
        <f>C20-10</f>
        <v>896.83333333333337</v>
      </c>
      <c r="D24" s="26"/>
      <c r="E24" s="26"/>
      <c r="F24" s="26"/>
      <c r="G24" s="26"/>
      <c r="H24" s="26"/>
      <c r="I24" s="26"/>
      <c r="J24" s="26"/>
      <c r="K24" s="26"/>
      <c r="P24" s="10"/>
    </row>
    <row r="25" spans="2:20" x14ac:dyDescent="0.25">
      <c r="B25" s="3"/>
      <c r="C25" s="2"/>
      <c r="P25" s="10"/>
    </row>
    <row r="26" spans="2:20" x14ac:dyDescent="0.25">
      <c r="B26" s="7" t="s">
        <v>35</v>
      </c>
      <c r="C26" s="9">
        <f>C20+3*C21</f>
        <v>914.49753583587733</v>
      </c>
      <c r="L26" s="27" t="s">
        <v>38</v>
      </c>
      <c r="M26" s="27"/>
      <c r="N26" s="27"/>
      <c r="O26" s="27"/>
      <c r="P26" s="10"/>
    </row>
    <row r="27" spans="2:20" x14ac:dyDescent="0.25">
      <c r="B27" s="7" t="s">
        <v>36</v>
      </c>
      <c r="C27" s="9">
        <f>C20-3*C21</f>
        <v>899.16913083078941</v>
      </c>
      <c r="L27" s="27"/>
      <c r="M27" s="27"/>
      <c r="N27" s="27"/>
      <c r="O27" s="27"/>
      <c r="P27" s="10"/>
    </row>
    <row r="28" spans="2:20" x14ac:dyDescent="0.25">
      <c r="P28" s="10"/>
    </row>
    <row r="29" spans="2:20" x14ac:dyDescent="0.25">
      <c r="B29" s="11" t="s">
        <v>41</v>
      </c>
      <c r="C29" s="1" t="s">
        <v>0</v>
      </c>
      <c r="D29" s="6" t="s">
        <v>18</v>
      </c>
      <c r="E29" s="6" t="s">
        <v>21</v>
      </c>
      <c r="F29" s="6" t="s">
        <v>23</v>
      </c>
      <c r="G29" s="6" t="s">
        <v>25</v>
      </c>
      <c r="H29" s="6" t="s">
        <v>29</v>
      </c>
      <c r="I29" s="6" t="s">
        <v>30</v>
      </c>
      <c r="J29" s="8" t="s">
        <v>13</v>
      </c>
      <c r="K29" s="8" t="s">
        <v>14</v>
      </c>
      <c r="L29" s="8" t="s">
        <v>15</v>
      </c>
      <c r="M29" s="8" t="s">
        <v>16</v>
      </c>
      <c r="N29" s="8" t="s">
        <v>17</v>
      </c>
      <c r="O29" s="8" t="s">
        <v>19</v>
      </c>
      <c r="P29" s="8" t="s">
        <v>20</v>
      </c>
      <c r="Q29" s="8" t="s">
        <v>22</v>
      </c>
      <c r="R29" s="8" t="s">
        <v>24</v>
      </c>
      <c r="S29" s="8" t="s">
        <v>26</v>
      </c>
      <c r="T29" s="8" t="s">
        <v>27</v>
      </c>
    </row>
    <row r="30" spans="2:20" x14ac:dyDescent="0.25">
      <c r="C30" s="1">
        <v>904.1</v>
      </c>
      <c r="D30" s="6">
        <v>849.3</v>
      </c>
      <c r="E30" s="6">
        <v>890.9</v>
      </c>
      <c r="F30" s="6">
        <v>888</v>
      </c>
      <c r="G30" s="6">
        <v>892.9</v>
      </c>
      <c r="H30" s="6">
        <v>930.1</v>
      </c>
      <c r="I30" s="6">
        <v>916.3</v>
      </c>
      <c r="J30" s="8">
        <v>912.6</v>
      </c>
      <c r="K30" s="8">
        <v>912.5</v>
      </c>
      <c r="L30" s="8">
        <v>913.7</v>
      </c>
      <c r="M30" s="8">
        <v>912.9</v>
      </c>
      <c r="N30" s="8">
        <v>896.2</v>
      </c>
      <c r="O30" s="8">
        <v>914</v>
      </c>
      <c r="P30" s="8">
        <v>914.2</v>
      </c>
      <c r="Q30" s="8">
        <v>896.3</v>
      </c>
      <c r="R30" s="8">
        <v>896.1</v>
      </c>
      <c r="S30" s="8">
        <v>912</v>
      </c>
      <c r="T30" s="8">
        <v>895.3</v>
      </c>
    </row>
    <row r="31" spans="2:20" x14ac:dyDescent="0.25">
      <c r="C31" s="1">
        <v>900.8</v>
      </c>
    </row>
    <row r="32" spans="2:20" x14ac:dyDescent="0.25">
      <c r="C32" s="1">
        <v>905</v>
      </c>
    </row>
    <row r="33" spans="2:3" x14ac:dyDescent="0.25">
      <c r="C33" s="1">
        <v>902.3</v>
      </c>
    </row>
    <row r="35" spans="2:3" x14ac:dyDescent="0.25">
      <c r="C35" s="1">
        <v>904.5</v>
      </c>
    </row>
    <row r="38" spans="2:3" x14ac:dyDescent="0.25">
      <c r="C38" s="1">
        <v>907.8</v>
      </c>
    </row>
    <row r="39" spans="2:3" x14ac:dyDescent="0.25">
      <c r="C39" s="1">
        <v>905.4</v>
      </c>
    </row>
    <row r="40" spans="2:3" x14ac:dyDescent="0.25">
      <c r="C40" s="1">
        <v>906.2</v>
      </c>
    </row>
    <row r="42" spans="2:3" x14ac:dyDescent="0.25">
      <c r="C42" s="1">
        <v>907.2</v>
      </c>
    </row>
    <row r="44" spans="2:3" x14ac:dyDescent="0.25">
      <c r="C44" s="1">
        <v>907.6</v>
      </c>
    </row>
    <row r="46" spans="2:3" x14ac:dyDescent="0.25">
      <c r="B46" s="3" t="s">
        <v>31</v>
      </c>
      <c r="C46" s="2">
        <f>AVERAGE(C30:C44)</f>
        <v>905.08999999999992</v>
      </c>
    </row>
    <row r="47" spans="2:3" x14ac:dyDescent="0.25">
      <c r="B47" s="3" t="s">
        <v>32</v>
      </c>
      <c r="C47" s="2">
        <f>STDEV(C30:C44)</f>
        <v>2.2839780111804138</v>
      </c>
    </row>
    <row r="48" spans="2:3" x14ac:dyDescent="0.25">
      <c r="B48" s="3"/>
      <c r="C48" s="2"/>
    </row>
    <row r="49" spans="2:20" x14ac:dyDescent="0.25">
      <c r="B49" s="4" t="s">
        <v>33</v>
      </c>
      <c r="C49" s="5">
        <f>C46+10</f>
        <v>915.08999999999992</v>
      </c>
      <c r="D49" s="26" t="s">
        <v>39</v>
      </c>
      <c r="E49" s="26"/>
      <c r="F49" s="26"/>
      <c r="G49" s="26"/>
      <c r="H49" s="26"/>
      <c r="I49" s="26"/>
    </row>
    <row r="50" spans="2:20" x14ac:dyDescent="0.25">
      <c r="B50" s="4" t="s">
        <v>34</v>
      </c>
      <c r="C50" s="5">
        <f>C46-10</f>
        <v>895.08999999999992</v>
      </c>
      <c r="D50" s="26"/>
      <c r="E50" s="26"/>
      <c r="F50" s="26"/>
      <c r="G50" s="26"/>
      <c r="H50" s="26"/>
      <c r="I50" s="26"/>
    </row>
    <row r="51" spans="2:20" x14ac:dyDescent="0.25">
      <c r="B51" s="3"/>
      <c r="C51" s="2"/>
    </row>
    <row r="52" spans="2:20" x14ac:dyDescent="0.25">
      <c r="B52" s="7" t="s">
        <v>35</v>
      </c>
      <c r="C52" s="9">
        <f>C46+3*C47</f>
        <v>911.9419340335412</v>
      </c>
      <c r="J52" s="27" t="s">
        <v>284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 spans="2:20" x14ac:dyDescent="0.25">
      <c r="B53" s="7" t="s">
        <v>36</v>
      </c>
      <c r="C53" s="9">
        <f>C46-3*C47</f>
        <v>898.23806596645863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</sheetData>
  <mergeCells count="4">
    <mergeCell ref="D23:K24"/>
    <mergeCell ref="L26:O27"/>
    <mergeCell ref="D49:I50"/>
    <mergeCell ref="J52:T5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1b58b5-4126-43a9-bcb3-21c9de6f5241}" enabled="0" method="" siteId="{f71b58b5-4126-43a9-bcb3-21c9de6f52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 CD28 - Focused Library (345)</vt:lpstr>
      <vt:lpstr>Hit Selection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Calvo Barreiro</dc:creator>
  <cp:lastModifiedBy>Laura Calvo Barreiro</cp:lastModifiedBy>
  <cp:lastPrinted>2025-06-05T15:38:26Z</cp:lastPrinted>
  <dcterms:created xsi:type="dcterms:W3CDTF">2025-05-21T15:29:09Z</dcterms:created>
  <dcterms:modified xsi:type="dcterms:W3CDTF">2025-06-20T19:04:53Z</dcterms:modified>
</cp:coreProperties>
</file>